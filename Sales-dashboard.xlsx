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4000" windowHeight="9600" activeTab="4"/>
  </bookViews>
  <sheets>
    <sheet name="Sales by Region" sheetId="3" r:id="rId1"/>
    <sheet name="Sales by Product" sheetId="4" r:id="rId2"/>
    <sheet name="Sales by Month" sheetId="8" r:id="rId3"/>
    <sheet name="DASHBOARD" sheetId="9" r:id="rId4"/>
    <sheet name="SALES DATA" sheetId="1" r:id="rId5"/>
  </sheets>
  <definedNames>
    <definedName name="Slicer_Category">#N/A</definedName>
    <definedName name="Slicer_Region">#N/A</definedName>
  </definedNames>
  <calcPr calcId="162913"/>
  <pivotCaches>
    <pivotCache cacheId="3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9" l="1"/>
  <c r="F13" i="1"/>
  <c r="E3" i="9"/>
  <c r="E2" i="9"/>
  <c r="G12" i="1"/>
  <c r="F12" i="1"/>
</calcChain>
</file>

<file path=xl/sharedStrings.xml><?xml version="1.0" encoding="utf-8"?>
<sst xmlns="http://schemas.openxmlformats.org/spreadsheetml/2006/main" count="73" uniqueCount="43">
  <si>
    <t>Order ID</t>
  </si>
  <si>
    <t>Order Date</t>
  </si>
  <si>
    <t>Region</t>
  </si>
  <si>
    <t>Product</t>
  </si>
  <si>
    <t>Category</t>
  </si>
  <si>
    <t>Sales</t>
  </si>
  <si>
    <t>Quantity</t>
  </si>
  <si>
    <t>Customer Name</t>
  </si>
  <si>
    <t xml:space="preserve"> Nairobi </t>
  </si>
  <si>
    <t xml:space="preserve"> Laptop </t>
  </si>
  <si>
    <t xml:space="preserve"> Technology </t>
  </si>
  <si>
    <t xml:space="preserve"> James Mwangi</t>
  </si>
  <si>
    <t xml:space="preserve"> Mombasa </t>
  </si>
  <si>
    <t xml:space="preserve"> Phone </t>
  </si>
  <si>
    <t xml:space="preserve"> Aisha Ali</t>
  </si>
  <si>
    <t xml:space="preserve"> 2024-01-10 </t>
  </si>
  <si>
    <t xml:space="preserve"> Kisumu </t>
  </si>
  <si>
    <t xml:space="preserve"> Chair </t>
  </si>
  <si>
    <t xml:space="preserve"> Furniture </t>
  </si>
  <si>
    <t xml:space="preserve"> Brian Otieno</t>
  </si>
  <si>
    <t xml:space="preserve"> 2024-02-02 </t>
  </si>
  <si>
    <t xml:space="preserve"> Desk </t>
  </si>
  <si>
    <t xml:space="preserve"> Mercy Wanjiku</t>
  </si>
  <si>
    <t xml:space="preserve"> Eldoret </t>
  </si>
  <si>
    <t xml:space="preserve"> Printer </t>
  </si>
  <si>
    <t xml:space="preserve"> David Kiptoo</t>
  </si>
  <si>
    <t xml:space="preserve"> 2024-03-05 </t>
  </si>
  <si>
    <t xml:space="preserve"> Nakuru </t>
  </si>
  <si>
    <t xml:space="preserve"> Table </t>
  </si>
  <si>
    <t xml:space="preserve"> Faith Njeri</t>
  </si>
  <si>
    <t xml:space="preserve"> Kevin Ouma</t>
  </si>
  <si>
    <t xml:space="preserve"> Salma Noor</t>
  </si>
  <si>
    <t xml:space="preserve"> 2024-04-01 </t>
  </si>
  <si>
    <t xml:space="preserve"> Peter Odhiambo</t>
  </si>
  <si>
    <t xml:space="preserve"> 2024-04-15 </t>
  </si>
  <si>
    <t xml:space="preserve"> Lucy Chebet</t>
  </si>
  <si>
    <t>Row Labels</t>
  </si>
  <si>
    <t>Grand Total</t>
  </si>
  <si>
    <t>Sum of Sales</t>
  </si>
  <si>
    <t>TOTAL SALES</t>
  </si>
  <si>
    <t>TOTAL QUANTITY</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</si>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</sst>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1" fillId="0" borderId="0" xfId="0" applyFont="1"/>
    <xf numFmtId="14" fontId="1" fillId="0" borderId="0" xfId="0" applyNumberFormat="1" applyFont="1"/>
    <xf numFmtId="14" fontId="0" fillId="0" borderId="0" xfId="0" applyNumberForma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1" fillId="0" borderId="1" xfId="0" applyNumberFormat="1" applyFont="1" applyBorder="1"/>
    <xf numFmtId="2" fontId="0" fillId="0" borderId="0" xfId="0" applyNumberFormat="1" applyFont="1" applyBorder="1"/>
  </cellXfs>
  <cellStyles count="1">
    <cellStyle name="Normal" xfId="0" builtinId="0"/>
  </cellStyles>
  <dxfs count="7">
    <dxf>
      <numFmt numFmtId="1" formatCode="0"/>
    </dxf>
    <dxf>
      <numFmt numFmtId="2" formatCode="0.00"/>
    </dxf>
    <dxf>
      <numFmt numFmtId="19" formatCode="m/d/yyyy"/>
    </dxf>
    <dxf>
      <numFmt numFmtId="19" formatCode="m/d/yyyy"/>
    </dxf>
    <dxf>
      <font>
        <b/>
        <i val="0"/>
        <strike val="0"/>
        <condense val="0"/>
        <extend val="0"/>
        <outline val="0"/>
        <shadow val="0"/>
        <u val="none"/>
        <vertAlign val="baseline"/>
        <sz val="11"/>
        <color theme="1"/>
        <name val="Calibri"/>
        <scheme val="minor"/>
      </font>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COLLO.xlsx]Sales by Region!PivotTable4</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per region</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5"/>
            </a:fgClr>
            <a:bgClr>
              <a:schemeClr val="lt1"/>
            </a:bgClr>
          </a:pattFill>
          <a:ln>
            <a:noFill/>
          </a:ln>
          <a:effectLst/>
        </c:spPr>
        <c:marker>
          <c:symbol val="none"/>
        </c:marker>
      </c:pivotFmt>
      <c:pivotFmt>
        <c:idx val="2"/>
        <c:spPr>
          <a:pattFill prst="ltUpDiag">
            <a:fgClr>
              <a:schemeClr val="accent5"/>
            </a:fgClr>
            <a:bgClr>
              <a:schemeClr val="lt1"/>
            </a:bgClr>
          </a:pattFill>
          <a:ln>
            <a:noFill/>
          </a:ln>
          <a:effectLst/>
        </c:spPr>
        <c:marker>
          <c:symbol val="none"/>
        </c:marker>
      </c:pivotFmt>
    </c:pivotFmts>
    <c:plotArea>
      <c:layout/>
      <c:barChart>
        <c:barDir val="bar"/>
        <c:grouping val="clustered"/>
        <c:varyColors val="0"/>
        <c:ser>
          <c:idx val="0"/>
          <c:order val="0"/>
          <c:tx>
            <c:strRef>
              <c:f>'Sales by Region'!$B$3</c:f>
              <c:strCache>
                <c:ptCount val="1"/>
                <c:pt idx="0">
                  <c:v>Total</c:v>
                </c:pt>
              </c:strCache>
            </c:strRef>
          </c:tx>
          <c:spPr>
            <a:pattFill prst="ltUpDiag">
              <a:fgClr>
                <a:schemeClr val="accent5"/>
              </a:fgClr>
              <a:bgClr>
                <a:schemeClr val="lt1"/>
              </a:bgClr>
            </a:pattFill>
            <a:ln>
              <a:noFill/>
            </a:ln>
            <a:effectLst/>
          </c:spPr>
          <c:invertIfNegative val="0"/>
          <c:cat>
            <c:strRef>
              <c:f>'Sales by Region'!$A$4:$A$8</c:f>
              <c:strCache>
                <c:ptCount val="4"/>
                <c:pt idx="0">
                  <c:v> Eldoret </c:v>
                </c:pt>
                <c:pt idx="1">
                  <c:v> Kisumu </c:v>
                </c:pt>
                <c:pt idx="2">
                  <c:v> Nairobi </c:v>
                </c:pt>
                <c:pt idx="3">
                  <c:v> Nakuru </c:v>
                </c:pt>
              </c:strCache>
            </c:strRef>
          </c:cat>
          <c:val>
            <c:numRef>
              <c:f>'Sales by Region'!$B$4:$B$8</c:f>
              <c:numCache>
                <c:formatCode>General</c:formatCode>
                <c:ptCount val="4"/>
                <c:pt idx="0">
                  <c:v>22000</c:v>
                </c:pt>
                <c:pt idx="1">
                  <c:v>22000</c:v>
                </c:pt>
                <c:pt idx="2">
                  <c:v>20000</c:v>
                </c:pt>
                <c:pt idx="3">
                  <c:v>15000</c:v>
                </c:pt>
              </c:numCache>
            </c:numRef>
          </c:val>
          <c:extLst>
            <c:ext xmlns:c16="http://schemas.microsoft.com/office/drawing/2014/chart" uri="{C3380CC4-5D6E-409C-BE32-E72D297353CC}">
              <c16:uniqueId val="{00000000-E91E-45C9-81B9-581381A5A5CA}"/>
            </c:ext>
          </c:extLst>
        </c:ser>
        <c:dLbls>
          <c:showLegendKey val="0"/>
          <c:showVal val="0"/>
          <c:showCatName val="0"/>
          <c:showSerName val="0"/>
          <c:showPercent val="0"/>
          <c:showBubbleSize val="0"/>
        </c:dLbls>
        <c:gapWidth val="269"/>
        <c:overlap val="-20"/>
        <c:axId val="727227408"/>
        <c:axId val="727228240"/>
      </c:barChart>
      <c:catAx>
        <c:axId val="727227408"/>
        <c:scaling>
          <c:orientation val="minMax"/>
        </c:scaling>
        <c:delete val="0"/>
        <c:axPos val="l"/>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27228240"/>
        <c:crosses val="autoZero"/>
        <c:auto val="1"/>
        <c:lblAlgn val="ctr"/>
        <c:lblOffset val="100"/>
        <c:noMultiLvlLbl val="0"/>
      </c:catAx>
      <c:valAx>
        <c:axId val="72722824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7227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COLLO.xlsx]Sales by Product!PivotTable5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'Sales by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'Sales by Product'!$A$4:$A$7</c:f>
              <c:strCache>
                <c:ptCount val="3"/>
                <c:pt idx="0">
                  <c:v> Chair </c:v>
                </c:pt>
                <c:pt idx="1">
                  <c:v> Desk </c:v>
                </c:pt>
                <c:pt idx="2">
                  <c:v> Table </c:v>
                </c:pt>
              </c:strCache>
            </c:strRef>
          </c:cat>
          <c:val>
            <c:numRef>
              <c:f>'Sales by Product'!$B$4:$B$7</c:f>
              <c:numCache>
                <c:formatCode>General</c:formatCode>
                <c:ptCount val="3"/>
                <c:pt idx="0">
                  <c:v>22000</c:v>
                </c:pt>
                <c:pt idx="1">
                  <c:v>42000</c:v>
                </c:pt>
                <c:pt idx="2">
                  <c:v>15000</c:v>
                </c:pt>
              </c:numCache>
            </c:numRef>
          </c:val>
          <c:extLst>
            <c:ext xmlns:c16="http://schemas.microsoft.com/office/drawing/2014/chart" uri="{C3380CC4-5D6E-409C-BE32-E72D297353CC}">
              <c16:uniqueId val="{00000000-39B6-419B-8225-027650FC875C}"/>
            </c:ext>
          </c:extLst>
        </c:ser>
        <c:dLbls>
          <c:dLblPos val="inEnd"/>
          <c:showLegendKey val="0"/>
          <c:showVal val="1"/>
          <c:showCatName val="0"/>
          <c:showSerName val="0"/>
          <c:showPercent val="0"/>
          <c:showBubbleSize val="0"/>
        </c:dLbls>
        <c:gapWidth val="115"/>
        <c:overlap val="-20"/>
        <c:axId val="833023536"/>
        <c:axId val="833028944"/>
      </c:barChart>
      <c:catAx>
        <c:axId val="83302353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028944"/>
        <c:crosses val="autoZero"/>
        <c:auto val="1"/>
        <c:lblAlgn val="ctr"/>
        <c:lblOffset val="100"/>
        <c:noMultiLvlLbl val="0"/>
      </c:catAx>
      <c:valAx>
        <c:axId val="8330289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0235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 COLLO.xlsx]Sales by Month!PivotTable9</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MONTH</a:t>
            </a: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delete val="1"/>
          </c:dLbls>
          <c:cat>
            <c:strRef>
              <c:f>'Sales by Month'!$A$4:$A$9</c:f>
              <c:strCache>
                <c:ptCount val="5"/>
                <c:pt idx="0">
                  <c:v> 2024-01-10 </c:v>
                </c:pt>
                <c:pt idx="1">
                  <c:v> 2024-02-02 </c:v>
                </c:pt>
                <c:pt idx="2">
                  <c:v> 2024-03-05 </c:v>
                </c:pt>
                <c:pt idx="3">
                  <c:v> 2024-04-01 </c:v>
                </c:pt>
                <c:pt idx="4">
                  <c:v> 2024-04-15 </c:v>
                </c:pt>
              </c:strCache>
            </c:strRef>
          </c:cat>
          <c:val>
            <c:numRef>
              <c:f>'Sales by Month'!$B$4:$B$9</c:f>
              <c:numCache>
                <c:formatCode>General</c:formatCode>
                <c:ptCount val="5"/>
                <c:pt idx="0">
                  <c:v>12000</c:v>
                </c:pt>
                <c:pt idx="1">
                  <c:v>20000</c:v>
                </c:pt>
                <c:pt idx="2">
                  <c:v>15000</c:v>
                </c:pt>
                <c:pt idx="3">
                  <c:v>10000</c:v>
                </c:pt>
                <c:pt idx="4">
                  <c:v>22000</c:v>
                </c:pt>
              </c:numCache>
            </c:numRef>
          </c:val>
          <c:smooth val="0"/>
          <c:extLst>
            <c:ext xmlns:c16="http://schemas.microsoft.com/office/drawing/2014/chart" uri="{C3380CC4-5D6E-409C-BE32-E72D297353CC}">
              <c16:uniqueId val="{00000000-7B66-4BEF-95DE-BE816E3FA77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27226160"/>
        <c:axId val="727228656"/>
      </c:lineChart>
      <c:catAx>
        <c:axId val="7272261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27228656"/>
        <c:crosses val="autoZero"/>
        <c:auto val="1"/>
        <c:lblAlgn val="ctr"/>
        <c:lblOffset val="100"/>
        <c:noMultiLvlLbl val="0"/>
      </c:catAx>
      <c:valAx>
        <c:axId val="727228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7226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0</xdr:rowOff>
    </xdr:from>
    <xdr:to>
      <xdr:col>6</xdr:col>
      <xdr:colOff>161925</xdr:colOff>
      <xdr:row>39</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433387</xdr:colOff>
      <xdr:row>25</xdr:row>
      <xdr:rowOff>0</xdr:rowOff>
    </xdr:from>
    <xdr:to>
      <xdr:col>13</xdr:col>
      <xdr:colOff>228600</xdr:colOff>
      <xdr:row>39</xdr:row>
      <xdr:rowOff>76200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600075</xdr:colOff>
      <xdr:row>24</xdr:row>
      <xdr:rowOff>180975</xdr:rowOff>
    </xdr:from>
    <xdr:to>
      <xdr:col>19</xdr:col>
      <xdr:colOff>557211</xdr:colOff>
      <xdr:row>39</xdr:row>
      <xdr:rowOff>66675</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66675</xdr:colOff>
      <xdr:row>11</xdr:row>
      <xdr:rowOff>76200</xdr:rowOff>
    </xdr:from>
    <xdr:to>
      <xdr:col>3</xdr:col>
      <xdr:colOff>66675</xdr:colOff>
      <xdr:row>24</xdr:row>
      <xdr:rowOff>123825</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675" y="2171700"/>
              <a:ext cx="18216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428625</xdr:colOff>
      <xdr:row>11</xdr:row>
      <xdr:rowOff>85725</xdr:rowOff>
    </xdr:from>
    <xdr:to>
      <xdr:col>7</xdr:col>
      <xdr:colOff>102053</xdr:colOff>
      <xdr:row>24</xdr:row>
      <xdr:rowOff>133350</xdr:rowOff>
    </xdr:to>
    <mc:AlternateContent xmlns:mc="http://schemas.openxmlformats.org/markup-compatibility/2006">
      <mc:Choice xmlns:a14="http://schemas.microsoft.com/office/drawing/2010/main"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93281" y="2181225"/>
              <a:ext cx="181655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48.41676990741" createdVersion="6" refreshedVersion="6" minRefreshableVersion="3" recordCount="10">
  <cacheSource type="worksheet">
    <worksheetSource name="Table1"/>
  </cacheSource>
  <cacheFields count="8">
    <cacheField name="Order ID" numFmtId="0">
      <sharedItems containsSemiMixedTypes="0" containsString="0" containsNumber="1" containsInteger="1" minValue="1001" maxValue="1010"/>
    </cacheField>
    <cacheField name="Order Date" numFmtId="14">
      <sharedItems count="10">
        <s v=" 2024-01-05 "/>
        <s v=" 2024-01-07 "/>
        <s v=" 2024-01-10 "/>
        <s v=" 2024-02-02 "/>
        <s v=" 2024-02-10 "/>
        <s v=" 2024-03-05 "/>
        <s v=" 2024-03-12 "/>
        <s v=" 2024-03-20 "/>
        <s v=" 2024-04-01 "/>
        <s v=" 2024-04-15 "/>
      </sharedItems>
    </cacheField>
    <cacheField name="Region" numFmtId="0">
      <sharedItems count="5">
        <s v=" Nairobi "/>
        <s v=" Mombasa "/>
        <s v=" Kisumu "/>
        <s v=" Eldoret "/>
        <s v=" Nakuru "/>
      </sharedItems>
    </cacheField>
    <cacheField name="Product" numFmtId="0">
      <sharedItems count="6">
        <s v=" Laptop "/>
        <s v=" Phone "/>
        <s v=" Chair "/>
        <s v=" Desk "/>
        <s v=" Printer "/>
        <s v=" Table "/>
      </sharedItems>
    </cacheField>
    <cacheField name="Category" numFmtId="0">
      <sharedItems count="2">
        <s v=" Technology "/>
        <s v=" Furniture "/>
      </sharedItems>
    </cacheField>
    <cacheField name="Sales" numFmtId="2">
      <sharedItems containsSemiMixedTypes="0" containsString="0" containsNumber="1" containsInteger="1" minValue="10000" maxValue="90000" count="10">
        <n v="85000"/>
        <n v="45000"/>
        <n v="12000"/>
        <n v="20000"/>
        <n v="30000"/>
        <n v="15000"/>
        <n v="50000"/>
        <n v="90000"/>
        <n v="10000"/>
        <n v="22000"/>
      </sharedItems>
    </cacheField>
    <cacheField name="Quantity" numFmtId="1">
      <sharedItems containsSemiMixedTypes="0" containsString="0" containsNumber="1" containsInteger="1" minValue="1" maxValue="4"/>
    </cacheField>
    <cacheField name="Customer Nam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01"/>
    <x v="0"/>
    <x v="0"/>
    <x v="0"/>
    <x v="0"/>
    <x v="0"/>
    <n v="1"/>
    <s v=" James Mwangi"/>
  </r>
  <r>
    <n v="1002"/>
    <x v="1"/>
    <x v="1"/>
    <x v="1"/>
    <x v="0"/>
    <x v="1"/>
    <n v="2"/>
    <s v=" Aisha Ali"/>
  </r>
  <r>
    <n v="1003"/>
    <x v="2"/>
    <x v="2"/>
    <x v="2"/>
    <x v="1"/>
    <x v="2"/>
    <n v="3"/>
    <s v=" Brian Otieno"/>
  </r>
  <r>
    <n v="1004"/>
    <x v="3"/>
    <x v="0"/>
    <x v="3"/>
    <x v="1"/>
    <x v="3"/>
    <n v="1"/>
    <s v=" Mercy Wanjiku"/>
  </r>
  <r>
    <n v="1005"/>
    <x v="4"/>
    <x v="3"/>
    <x v="4"/>
    <x v="0"/>
    <x v="4"/>
    <n v="1"/>
    <s v=" David Kiptoo"/>
  </r>
  <r>
    <n v="1006"/>
    <x v="5"/>
    <x v="4"/>
    <x v="5"/>
    <x v="1"/>
    <x v="5"/>
    <n v="2"/>
    <s v=" Faith Njeri"/>
  </r>
  <r>
    <n v="1007"/>
    <x v="6"/>
    <x v="0"/>
    <x v="1"/>
    <x v="0"/>
    <x v="6"/>
    <n v="1"/>
    <s v=" Kevin Ouma"/>
  </r>
  <r>
    <n v="1008"/>
    <x v="7"/>
    <x v="1"/>
    <x v="0"/>
    <x v="0"/>
    <x v="7"/>
    <n v="1"/>
    <s v=" Salma Noor"/>
  </r>
  <r>
    <n v="1009"/>
    <x v="8"/>
    <x v="2"/>
    <x v="2"/>
    <x v="1"/>
    <x v="8"/>
    <n v="4"/>
    <s v=" Peter Odhiambo"/>
  </r>
  <r>
    <n v="1010"/>
    <x v="9"/>
    <x v="3"/>
    <x v="3"/>
    <x v="1"/>
    <x v="9"/>
    <n v="1"/>
    <s v=" Lucy Cheb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8" firstHeaderRow="1" firstDataRow="1" firstDataCol="1"/>
  <pivotFields count="8">
    <pivotField showAll="0"/>
    <pivotField showAll="0">
      <items count="11">
        <item x="0"/>
        <item x="1"/>
        <item x="2"/>
        <item x="3"/>
        <item x="4"/>
        <item x="5"/>
        <item x="6"/>
        <item x="7"/>
        <item x="8"/>
        <item x="9"/>
        <item t="default"/>
      </items>
    </pivotField>
    <pivotField axis="axisRow" showAll="0">
      <items count="6">
        <item x="3"/>
        <item x="2"/>
        <item x="1"/>
        <item x="0"/>
        <item x="4"/>
        <item t="default"/>
      </items>
    </pivotField>
    <pivotField showAll="0">
      <items count="7">
        <item x="2"/>
        <item x="3"/>
        <item x="0"/>
        <item x="1"/>
        <item x="4"/>
        <item x="5"/>
        <item t="default"/>
      </items>
    </pivotField>
    <pivotField showAll="0">
      <items count="3">
        <item x="1"/>
        <item h="1" x="0"/>
        <item t="default"/>
      </items>
    </pivotField>
    <pivotField dataField="1" numFmtId="2" showAll="0">
      <items count="11">
        <item x="8"/>
        <item x="2"/>
        <item x="5"/>
        <item x="3"/>
        <item x="9"/>
        <item x="4"/>
        <item x="1"/>
        <item x="6"/>
        <item x="0"/>
        <item x="7"/>
        <item t="default"/>
      </items>
    </pivotField>
    <pivotField numFmtId="1" showAll="0"/>
    <pivotField showAll="0"/>
  </pivotFields>
  <rowFields count="1">
    <field x="2"/>
  </rowFields>
  <rowItems count="5">
    <i>
      <x/>
    </i>
    <i>
      <x v="1"/>
    </i>
    <i>
      <x v="3"/>
    </i>
    <i>
      <x v="4"/>
    </i>
    <i t="grand">
      <x/>
    </i>
  </rowItems>
  <colItems count="1">
    <i/>
  </colItems>
  <dataFields count="1">
    <dataField name="Sum of Sales" fld="5"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7" firstHeaderRow="1" firstDataRow="1" firstDataCol="1"/>
  <pivotFields count="8">
    <pivotField showAll="0"/>
    <pivotField showAll="0"/>
    <pivotField showAll="0">
      <items count="6">
        <item x="3"/>
        <item x="2"/>
        <item x="1"/>
        <item x="0"/>
        <item x="4"/>
        <item t="default"/>
      </items>
    </pivotField>
    <pivotField axis="axisRow" showAll="0">
      <items count="7">
        <item x="2"/>
        <item x="3"/>
        <item x="0"/>
        <item x="1"/>
        <item x="4"/>
        <item x="5"/>
        <item t="default"/>
      </items>
    </pivotField>
    <pivotField showAll="0">
      <items count="3">
        <item x="1"/>
        <item h="1" x="0"/>
        <item t="default"/>
      </items>
    </pivotField>
    <pivotField dataField="1" numFmtId="2" showAll="0"/>
    <pivotField numFmtId="1" showAll="0"/>
    <pivotField showAll="0"/>
  </pivotFields>
  <rowFields count="1">
    <field x="3"/>
  </rowFields>
  <rowItems count="4">
    <i>
      <x/>
    </i>
    <i>
      <x v="1"/>
    </i>
    <i>
      <x v="5"/>
    </i>
    <i t="grand">
      <x/>
    </i>
  </rowItems>
  <colItems count="1">
    <i/>
  </colItems>
  <dataFields count="1">
    <dataField name="Sum of Sales" fld="5"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9" firstHeaderRow="1" firstDataRow="1" firstDataCol="1"/>
  <pivotFields count="8">
    <pivotField showAll="0"/>
    <pivotField axis="axisRow" showAll="0">
      <items count="11">
        <item x="0"/>
        <item x="1"/>
        <item x="2"/>
        <item x="3"/>
        <item x="4"/>
        <item x="5"/>
        <item x="6"/>
        <item x="7"/>
        <item x="8"/>
        <item x="9"/>
        <item t="default"/>
      </items>
    </pivotField>
    <pivotField showAll="0">
      <items count="6">
        <item x="3"/>
        <item x="2"/>
        <item x="1"/>
        <item x="0"/>
        <item x="4"/>
        <item t="default"/>
      </items>
    </pivotField>
    <pivotField showAll="0"/>
    <pivotField showAll="0">
      <items count="3">
        <item x="1"/>
        <item h="1" x="0"/>
        <item t="default"/>
      </items>
    </pivotField>
    <pivotField dataField="1" numFmtId="2" showAll="0"/>
    <pivotField numFmtId="1" showAll="0"/>
    <pivotField showAll="0"/>
  </pivotFields>
  <rowFields count="1">
    <field x="1"/>
  </rowFields>
  <rowItems count="6">
    <i>
      <x v="2"/>
    </i>
    <i>
      <x v="3"/>
    </i>
    <i>
      <x v="5"/>
    </i>
    <i>
      <x v="8"/>
    </i>
    <i>
      <x v="9"/>
    </i>
    <i t="grand">
      <x/>
    </i>
  </rowItems>
  <colItems count="1">
    <i/>
  </colItems>
  <dataFields count="1">
    <dataField name="Sum of Sales" fld="5" baseField="0" baseItem="0"/>
  </dataField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 tabId="8" name="PivotTable9"/>
    <pivotTable tabId="4" name="PivotTable5"/>
  </pivotTables>
  <data>
    <tabular pivotCacheId="1">
      <items count="5">
        <i x="3" s="1"/>
        <i x="2" s="1"/>
        <i x="0" s="1"/>
        <i x="4"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4"/>
    <pivotTable tabId="8" name="PivotTable9"/>
    <pivotTable tabId="4" name="PivotTable5"/>
  </pivotTables>
  <data>
    <tabular pivotCacheId="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1" name="Table1" displayName="Table1" ref="A1:H12" totalsRowCount="1" headerRowDxfId="4">
  <autoFilter ref="A1:H12"/>
  <tableColumns count="8">
    <tableColumn id="1" name="Order ID"/>
    <tableColumn id="2" name="Order Date" dataDxfId="3" totalsRowDxfId="2"/>
    <tableColumn id="3" name="Region"/>
    <tableColumn id="4" name="Product"/>
    <tableColumn id="5" name="Category"/>
    <tableColumn id="6" name="Sales" totalsRowFunction="sum" dataDxfId="6" totalsRowDxfId="1"/>
    <tableColumn id="7" name="Quantity" totalsRowFunction="sum" dataDxfId="5" totalsRowDxfId="0"/>
    <tableColumn id="8"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M20" sqref="M20"/>
    </sheetView>
  </sheetViews>
  <sheetFormatPr defaultRowHeight="15" x14ac:dyDescent="0.25"/>
  <cols>
    <col min="1" max="1" width="13.140625" bestFit="1" customWidth="1"/>
    <col min="2" max="2" width="12.140625" bestFit="1" customWidth="1"/>
  </cols>
  <sheetData>
    <row r="3" spans="1:2" x14ac:dyDescent="0.25">
      <c r="A3" s="8" t="s">
        <v>36</v>
      </c>
      <c r="B3" t="s">
        <v>38</v>
      </c>
    </row>
    <row r="4" spans="1:2" x14ac:dyDescent="0.25">
      <c r="A4" s="9" t="s">
        <v>23</v>
      </c>
      <c r="B4" s="10">
        <v>22000</v>
      </c>
    </row>
    <row r="5" spans="1:2" x14ac:dyDescent="0.25">
      <c r="A5" s="9" t="s">
        <v>16</v>
      </c>
      <c r="B5" s="10">
        <v>22000</v>
      </c>
    </row>
    <row r="6" spans="1:2" x14ac:dyDescent="0.25">
      <c r="A6" s="9" t="s">
        <v>8</v>
      </c>
      <c r="B6" s="10">
        <v>20000</v>
      </c>
    </row>
    <row r="7" spans="1:2" x14ac:dyDescent="0.25">
      <c r="A7" s="9" t="s">
        <v>27</v>
      </c>
      <c r="B7" s="10">
        <v>15000</v>
      </c>
    </row>
    <row r="8" spans="1:2" x14ac:dyDescent="0.25">
      <c r="A8" s="9" t="s">
        <v>37</v>
      </c>
      <c r="B8" s="10">
        <v>79000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P18" sqref="P18"/>
    </sheetView>
  </sheetViews>
  <sheetFormatPr defaultRowHeight="15" x14ac:dyDescent="0.25"/>
  <cols>
    <col min="1" max="1" width="13.140625" bestFit="1" customWidth="1"/>
    <col min="2" max="2" width="12.140625" bestFit="1" customWidth="1"/>
  </cols>
  <sheetData>
    <row r="3" spans="1:2" x14ac:dyDescent="0.25">
      <c r="A3" s="8" t="s">
        <v>36</v>
      </c>
      <c r="B3" t="s">
        <v>38</v>
      </c>
    </row>
    <row r="4" spans="1:2" x14ac:dyDescent="0.25">
      <c r="A4" s="9" t="s">
        <v>17</v>
      </c>
      <c r="B4" s="10">
        <v>22000</v>
      </c>
    </row>
    <row r="5" spans="1:2" x14ac:dyDescent="0.25">
      <c r="A5" s="9" t="s">
        <v>21</v>
      </c>
      <c r="B5" s="10">
        <v>42000</v>
      </c>
    </row>
    <row r="6" spans="1:2" x14ac:dyDescent="0.25">
      <c r="A6" s="9" t="s">
        <v>28</v>
      </c>
      <c r="B6" s="10">
        <v>15000</v>
      </c>
    </row>
    <row r="7" spans="1:2" x14ac:dyDescent="0.25">
      <c r="A7" s="9" t="s">
        <v>37</v>
      </c>
      <c r="B7" s="10">
        <v>79000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N17" sqref="N17"/>
    </sheetView>
  </sheetViews>
  <sheetFormatPr defaultRowHeight="15" x14ac:dyDescent="0.25"/>
  <cols>
    <col min="1" max="1" width="13.140625" bestFit="1" customWidth="1"/>
    <col min="2" max="2" width="12.140625" bestFit="1" customWidth="1"/>
  </cols>
  <sheetData>
    <row r="3" spans="1:2" x14ac:dyDescent="0.25">
      <c r="A3" s="8" t="s">
        <v>36</v>
      </c>
      <c r="B3" t="s">
        <v>38</v>
      </c>
    </row>
    <row r="4" spans="1:2" x14ac:dyDescent="0.25">
      <c r="A4" s="9" t="s">
        <v>15</v>
      </c>
      <c r="B4" s="10">
        <v>12000</v>
      </c>
    </row>
    <row r="5" spans="1:2" x14ac:dyDescent="0.25">
      <c r="A5" s="9" t="s">
        <v>20</v>
      </c>
      <c r="B5" s="10">
        <v>20000</v>
      </c>
    </row>
    <row r="6" spans="1:2" x14ac:dyDescent="0.25">
      <c r="A6" s="9" t="s">
        <v>26</v>
      </c>
      <c r="B6" s="10">
        <v>15000</v>
      </c>
    </row>
    <row r="7" spans="1:2" x14ac:dyDescent="0.25">
      <c r="A7" s="9" t="s">
        <v>32</v>
      </c>
      <c r="B7" s="10">
        <v>10000</v>
      </c>
    </row>
    <row r="8" spans="1:2" x14ac:dyDescent="0.25">
      <c r="A8" s="9" t="s">
        <v>34</v>
      </c>
      <c r="B8" s="10">
        <v>22000</v>
      </c>
    </row>
    <row r="9" spans="1:2" x14ac:dyDescent="0.25">
      <c r="A9" s="9" t="s">
        <v>37</v>
      </c>
      <c r="B9" s="10">
        <v>79000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E5"/>
  <sheetViews>
    <sheetView topLeftCell="A4" zoomScale="80" zoomScaleNormal="80" workbookViewId="0">
      <selection activeCell="I4" sqref="I4"/>
    </sheetView>
  </sheetViews>
  <sheetFormatPr defaultRowHeight="15" x14ac:dyDescent="0.25"/>
  <cols>
    <col min="4" max="4" width="17.140625" bestFit="1" customWidth="1"/>
    <col min="5" max="5" width="14" bestFit="1" customWidth="1"/>
  </cols>
  <sheetData>
    <row r="2" spans="4:5" x14ac:dyDescent="0.25">
      <c r="D2" s="1" t="s">
        <v>39</v>
      </c>
      <c r="E2" s="12">
        <f>SUBTOTAL(109,Table1[Sales])</f>
        <v>379000</v>
      </c>
    </row>
    <row r="3" spans="4:5" x14ac:dyDescent="0.25">
      <c r="D3" s="1" t="s">
        <v>40</v>
      </c>
      <c r="E3" s="11">
        <f>SUBTOTAL(109,Table1[Quantity])</f>
        <v>17</v>
      </c>
    </row>
    <row r="4" spans="4:5" x14ac:dyDescent="0.25">
      <c r="D4" s="1" t="s">
        <v>41</v>
      </c>
      <c r="E4">
        <v>10</v>
      </c>
    </row>
    <row r="5" spans="4:5" x14ac:dyDescent="0.25">
      <c r="D5" s="1" t="s">
        <v>42</v>
      </c>
      <c r="E5" s="5">
        <f>AVERAGE(Table1[Sales])</f>
        <v>37900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abSelected="1" workbookViewId="0">
      <selection activeCell="F13" sqref="F13"/>
    </sheetView>
  </sheetViews>
  <sheetFormatPr defaultRowHeight="15" x14ac:dyDescent="0.25"/>
  <cols>
    <col min="1" max="1" width="10.5703125" customWidth="1"/>
    <col min="2" max="2" width="12.85546875" style="3" customWidth="1"/>
    <col min="3" max="3" width="9.28515625" customWidth="1"/>
    <col min="4" max="4" width="10" customWidth="1"/>
    <col min="5" max="5" width="12" bestFit="1" customWidth="1"/>
    <col min="6" max="6" width="9.5703125" style="5" bestFit="1" customWidth="1"/>
    <col min="7" max="7" width="10.85546875" style="7" customWidth="1"/>
    <col min="8" max="8" width="17.42578125" customWidth="1"/>
  </cols>
  <sheetData>
    <row r="1" spans="1:8" s="1" customFormat="1" x14ac:dyDescent="0.25">
      <c r="A1" s="1" t="s">
        <v>0</v>
      </c>
      <c r="B1" s="2" t="s">
        <v>1</v>
      </c>
      <c r="C1" s="1" t="s">
        <v>2</v>
      </c>
      <c r="D1" s="1" t="s">
        <v>3</v>
      </c>
      <c r="E1" s="1" t="s">
        <v>4</v>
      </c>
      <c r="F1" s="4" t="s">
        <v>5</v>
      </c>
      <c r="G1" s="6" t="s">
        <v>6</v>
      </c>
      <c r="H1" s="1" t="s">
        <v>7</v>
      </c>
    </row>
    <row r="2" spans="1:8" x14ac:dyDescent="0.25">
      <c r="A2">
        <v>1001</v>
      </c>
      <c r="B2" s="3">
        <v>45296</v>
      </c>
      <c r="C2" t="s">
        <v>8</v>
      </c>
      <c r="D2" t="s">
        <v>9</v>
      </c>
      <c r="E2" t="s">
        <v>10</v>
      </c>
      <c r="F2" s="5">
        <v>85000</v>
      </c>
      <c r="G2" s="7">
        <v>1</v>
      </c>
      <c r="H2" t="s">
        <v>11</v>
      </c>
    </row>
    <row r="3" spans="1:8" x14ac:dyDescent="0.25">
      <c r="A3">
        <v>1002</v>
      </c>
      <c r="B3" s="3">
        <v>45298</v>
      </c>
      <c r="C3" t="s">
        <v>12</v>
      </c>
      <c r="D3" t="s">
        <v>13</v>
      </c>
      <c r="E3" t="s">
        <v>10</v>
      </c>
      <c r="F3" s="5">
        <v>45000</v>
      </c>
      <c r="G3" s="7">
        <v>2</v>
      </c>
      <c r="H3" t="s">
        <v>14</v>
      </c>
    </row>
    <row r="4" spans="1:8" x14ac:dyDescent="0.25">
      <c r="A4">
        <v>1003</v>
      </c>
      <c r="B4" s="3">
        <v>45301</v>
      </c>
      <c r="C4" t="s">
        <v>16</v>
      </c>
      <c r="D4" t="s">
        <v>17</v>
      </c>
      <c r="E4" t="s">
        <v>18</v>
      </c>
      <c r="F4" s="5">
        <v>12000</v>
      </c>
      <c r="G4" s="7">
        <v>3</v>
      </c>
      <c r="H4" t="s">
        <v>19</v>
      </c>
    </row>
    <row r="5" spans="1:8" x14ac:dyDescent="0.25">
      <c r="A5">
        <v>1004</v>
      </c>
      <c r="B5" s="3">
        <v>45324</v>
      </c>
      <c r="C5" t="s">
        <v>8</v>
      </c>
      <c r="D5" t="s">
        <v>21</v>
      </c>
      <c r="E5" t="s">
        <v>18</v>
      </c>
      <c r="F5" s="5">
        <v>20000</v>
      </c>
      <c r="G5" s="7">
        <v>1</v>
      </c>
      <c r="H5" t="s">
        <v>22</v>
      </c>
    </row>
    <row r="6" spans="1:8" x14ac:dyDescent="0.25">
      <c r="A6">
        <v>1005</v>
      </c>
      <c r="B6" s="3">
        <v>45332</v>
      </c>
      <c r="C6" t="s">
        <v>23</v>
      </c>
      <c r="D6" t="s">
        <v>24</v>
      </c>
      <c r="E6" t="s">
        <v>10</v>
      </c>
      <c r="F6" s="5">
        <v>30000</v>
      </c>
      <c r="G6" s="7">
        <v>1</v>
      </c>
      <c r="H6" t="s">
        <v>25</v>
      </c>
    </row>
    <row r="7" spans="1:8" x14ac:dyDescent="0.25">
      <c r="A7">
        <v>1006</v>
      </c>
      <c r="B7" s="3">
        <v>45356</v>
      </c>
      <c r="C7" t="s">
        <v>27</v>
      </c>
      <c r="D7" t="s">
        <v>28</v>
      </c>
      <c r="E7" t="s">
        <v>18</v>
      </c>
      <c r="F7" s="5">
        <v>15000</v>
      </c>
      <c r="G7" s="7">
        <v>2</v>
      </c>
      <c r="H7" t="s">
        <v>29</v>
      </c>
    </row>
    <row r="8" spans="1:8" x14ac:dyDescent="0.25">
      <c r="A8">
        <v>1007</v>
      </c>
      <c r="B8" s="3">
        <v>45363</v>
      </c>
      <c r="C8" t="s">
        <v>8</v>
      </c>
      <c r="D8" t="s">
        <v>13</v>
      </c>
      <c r="E8" t="s">
        <v>10</v>
      </c>
      <c r="F8" s="5">
        <v>50000</v>
      </c>
      <c r="G8" s="7">
        <v>1</v>
      </c>
      <c r="H8" t="s">
        <v>30</v>
      </c>
    </row>
    <row r="9" spans="1:8" x14ac:dyDescent="0.25">
      <c r="A9">
        <v>1008</v>
      </c>
      <c r="B9" s="3">
        <v>45371</v>
      </c>
      <c r="C9" t="s">
        <v>12</v>
      </c>
      <c r="D9" t="s">
        <v>9</v>
      </c>
      <c r="E9" t="s">
        <v>10</v>
      </c>
      <c r="F9" s="5">
        <v>90000</v>
      </c>
      <c r="G9" s="7">
        <v>1</v>
      </c>
      <c r="H9" t="s">
        <v>31</v>
      </c>
    </row>
    <row r="10" spans="1:8" x14ac:dyDescent="0.25">
      <c r="A10">
        <v>1009</v>
      </c>
      <c r="B10" s="3">
        <v>45383</v>
      </c>
      <c r="C10" t="s">
        <v>16</v>
      </c>
      <c r="D10" t="s">
        <v>17</v>
      </c>
      <c r="E10" t="s">
        <v>18</v>
      </c>
      <c r="F10" s="5">
        <v>10000</v>
      </c>
      <c r="G10" s="7">
        <v>4</v>
      </c>
      <c r="H10" t="s">
        <v>33</v>
      </c>
    </row>
    <row r="11" spans="1:8" x14ac:dyDescent="0.25">
      <c r="A11">
        <v>1010</v>
      </c>
      <c r="B11" s="3">
        <v>45397</v>
      </c>
      <c r="C11" t="s">
        <v>23</v>
      </c>
      <c r="D11" t="s">
        <v>21</v>
      </c>
      <c r="E11" t="s">
        <v>18</v>
      </c>
      <c r="F11" s="5">
        <v>22000</v>
      </c>
      <c r="G11" s="7">
        <v>1</v>
      </c>
      <c r="H11" t="s">
        <v>35</v>
      </c>
    </row>
    <row r="12" spans="1:8" x14ac:dyDescent="0.25">
      <c r="F12" s="5">
        <f>SUBTOTAL(109,Table1[Sales])</f>
        <v>379000</v>
      </c>
      <c r="G12" s="7">
        <f>SUBTOTAL(109,Table1[Quantity])</f>
        <v>17</v>
      </c>
    </row>
    <row r="13" spans="1:8" x14ac:dyDescent="0.25">
      <c r="F13" s="5">
        <f>AVERAGE(Table1[Sales])</f>
        <v>37900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vt:lpstr>
      <vt:lpstr>Sales by Product</vt:lpstr>
      <vt:lpstr>Sales by Month</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2026-05-06T06:12:06Z</dcterms:created>
  <dcterms:modified xsi:type="dcterms:W3CDTF">2026-05-06T10:43:47Z</dcterms:modified>
</cp:coreProperties>
</file>